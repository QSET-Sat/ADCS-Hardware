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atthewmora/Downloads/"/>
    </mc:Choice>
  </mc:AlternateContent>
  <xr:revisionPtr revIDLastSave="0" documentId="8_{8E962F7F-A3FC-BC44-94D7-B9C9A8516ADF}" xr6:coauthVersionLast="47" xr6:coauthVersionMax="47" xr10:uidLastSave="{00000000-0000-0000-0000-000000000000}"/>
  <bookViews>
    <workbookView xWindow="0" yWindow="640" windowWidth="2880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9" i="1" l="1"/>
  <c r="H27" i="1"/>
  <c r="H26" i="1"/>
  <c r="H25" i="1"/>
  <c r="H24" i="1"/>
  <c r="H23" i="1"/>
  <c r="H22" i="1"/>
  <c r="H19" i="1"/>
  <c r="H18" i="1"/>
  <c r="H10" i="1"/>
  <c r="H17" i="1"/>
  <c r="H37" i="1"/>
  <c r="H36" i="1"/>
  <c r="H35" i="1"/>
  <c r="H34" i="1"/>
  <c r="H31" i="1"/>
  <c r="H13" i="1"/>
  <c r="H12" i="1"/>
  <c r="H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000-000001000000}">
      <text>
        <r>
          <rPr>
            <sz val="10"/>
            <rFont val="Arial"/>
            <family val="2"/>
          </rPr>
          <t xml:space="preserve">The project's name.
</t>
        </r>
      </text>
    </comment>
    <comment ref="C6" authorId="0" shapeId="0" xr:uid="{00000000-0006-0000-0000-000003000000}">
      <text>
        <r>
          <rPr>
            <sz val="10"/>
            <rFont val="Arial"/>
            <family val="2"/>
          </rPr>
          <t>What you want to buy.</t>
        </r>
      </text>
    </comment>
    <comment ref="D6" authorId="0" shapeId="0" xr:uid="{00000000-0006-0000-0000-000004000000}">
      <text>
        <r>
          <rPr>
            <sz val="10"/>
            <rFont val="Arial"/>
            <family val="2"/>
          </rPr>
          <t>On a scale from 1 to 3, with 1 being absolutely necessary and 3 beng nice to have.</t>
        </r>
      </text>
    </comment>
    <comment ref="E6" authorId="0" shapeId="0" xr:uid="{00000000-0006-0000-0000-000005000000}">
      <text>
        <r>
          <rPr>
            <sz val="10"/>
            <rFont val="Arial"/>
            <family val="2"/>
          </rPr>
          <t>A description of what this item is and what it will be used for.</t>
        </r>
      </text>
    </comment>
    <comment ref="F6" authorId="0" shapeId="0" xr:uid="{00000000-0006-0000-0000-000006000000}">
      <text>
        <r>
          <rPr>
            <sz val="10"/>
            <rFont val="Arial"/>
            <family val="2"/>
          </rPr>
          <t>The price of 1 item (not including tax).</t>
        </r>
      </text>
    </comment>
    <comment ref="G6" authorId="0" shapeId="0" xr:uid="{00000000-0006-0000-0000-000007000000}">
      <text>
        <r>
          <rPr>
            <sz val="10"/>
            <rFont val="Arial"/>
            <family val="2"/>
          </rPr>
          <t xml:space="preserve">How many do you need?
</t>
        </r>
      </text>
    </comment>
    <comment ref="H6" authorId="0" shapeId="0" xr:uid="{00000000-0006-0000-0000-000008000000}">
      <text>
        <r>
          <rPr>
            <sz val="10"/>
            <rFont val="Arial"/>
            <family val="2"/>
          </rPr>
          <t>Unit price times quantity.</t>
        </r>
      </text>
    </comment>
    <comment ref="I6" authorId="0" shapeId="0" xr:uid="{00000000-0006-0000-0000-000009000000}">
      <text>
        <r>
          <rPr>
            <sz val="10"/>
            <rFont val="Arial"/>
            <family val="2"/>
          </rPr>
          <t>Any helpful links, calculations, etc.</t>
        </r>
      </text>
    </comment>
    <comment ref="B43" authorId="0" shapeId="0" xr:uid="{00000000-0006-0000-0000-000002000000}">
      <text>
        <r>
          <rPr>
            <sz val="10"/>
            <rFont val="Arial"/>
            <family val="2"/>
          </rPr>
          <t>Add up all the sub-totals.</t>
        </r>
      </text>
    </comment>
  </commentList>
</comments>
</file>

<file path=xl/sharedStrings.xml><?xml version="1.0" encoding="utf-8"?>
<sst xmlns="http://schemas.openxmlformats.org/spreadsheetml/2006/main" count="80" uniqueCount="77">
  <si>
    <t>Queen's Space Engineering Team 2026-2027</t>
  </si>
  <si>
    <t>Matthew Mora Vargas</t>
  </si>
  <si>
    <t>ADCS Subsystem Manager</t>
  </si>
  <si>
    <t>Category</t>
  </si>
  <si>
    <t>Item</t>
  </si>
  <si>
    <t>Priority</t>
  </si>
  <si>
    <t>Description / Specifics</t>
  </si>
  <si>
    <t>Unit Price</t>
  </si>
  <si>
    <t>Quantity</t>
  </si>
  <si>
    <t>Sub-Total</t>
  </si>
  <si>
    <t>Notes</t>
  </si>
  <si>
    <t>MCU &amp; Logic</t>
  </si>
  <si>
    <t>Microcontroller (STM32L4 / F4)</t>
  </si>
  <si>
    <t xml:space="preserve">STM32L496RGT6 </t>
  </si>
  <si>
    <t>External Watchdog IC</t>
  </si>
  <si>
    <t>MAX6369KA + T</t>
  </si>
  <si>
    <t>Hardware watchdog, MCU-independent</t>
  </si>
  <si>
    <t>MRAM Non-volatile Memory</t>
  </si>
  <si>
    <t>MR10Q010 or MR25H10; SPI; rad-tolerant</t>
  </si>
  <si>
    <t>Fault log retention across resets</t>
  </si>
  <si>
    <t>CAN Transceiver</t>
  </si>
  <si>
    <t xml:space="preserve">SN65HVD230 </t>
  </si>
  <si>
    <t>STM32 CAN peripheral to bus interface</t>
  </si>
  <si>
    <t>Power</t>
  </si>
  <si>
    <t>3.3V LDO Regulator</t>
  </si>
  <si>
    <t xml:space="preserve">LM1117-3.3 </t>
  </si>
  <si>
    <t>inquiry</t>
  </si>
  <si>
    <t>Local regulation for MCU and digital ICs</t>
  </si>
  <si>
    <t>Bulk Decoupling Cap — 3.3V rail</t>
  </si>
  <si>
    <t>100 µF electrolytic</t>
  </si>
  <si>
    <t>Near 3.3V input connector</t>
  </si>
  <si>
    <t>Bulk Decoupling Cap — 5V rail</t>
  </si>
  <si>
    <t>Near 5V input connector</t>
  </si>
  <si>
    <t>Bypass Cap — IC power pins</t>
  </si>
  <si>
    <t>100 nF ceramic 0603</t>
  </si>
  <si>
    <t>One per IC power pin. per ADCS-PWR-03</t>
  </si>
  <si>
    <t>Sensors</t>
  </si>
  <si>
    <t>6-axis IMU (gyro + accel)</t>
  </si>
  <si>
    <t>ICM-42688-P</t>
  </si>
  <si>
    <t>Angular rate ±500 deg/s. detumbling + attitude</t>
  </si>
  <si>
    <t>3-axis Magnetometer</t>
  </si>
  <si>
    <t xml:space="preserve">LIS3MDL </t>
  </si>
  <si>
    <t>Earth B-field ref. keep away from magnetorquer traces</t>
  </si>
  <si>
    <t>Sun Sensor Photodiode</t>
  </si>
  <si>
    <t xml:space="preserve">BPW34 </t>
  </si>
  <si>
    <t>One per face (+X −X +Y −Y) via TIA on sensor board</t>
  </si>
  <si>
    <t>Transimpedance Amplifier</t>
  </si>
  <si>
    <t>OPA2134PA-ND</t>
  </si>
  <si>
    <t>Photodiode current to voltage on sensor daughterboard</t>
  </si>
  <si>
    <t>Tether Current Sensor</t>
  </si>
  <si>
    <t>ACS712</t>
  </si>
  <si>
    <t>Measures tether current for Lorentz disturbance estimate</t>
  </si>
  <si>
    <t>Magnetorquer Current Sense</t>
  </si>
  <si>
    <t>INA180A4IDBVR IC</t>
  </si>
  <si>
    <t>One per magnetorquer axis power monitoring</t>
  </si>
  <si>
    <t>Actuators</t>
  </si>
  <si>
    <t>Magnetorquer H-bridge Driver</t>
  </si>
  <si>
    <t>DRV8833CPWPR</t>
  </si>
  <si>
    <t>One IC per axis. PWM current control</t>
  </si>
  <si>
    <t>Connectors</t>
  </si>
  <si>
    <t>PC104 Stack-through Connector</t>
  </si>
  <si>
    <t>Mouser PC104 2.54mm</t>
  </si>
  <si>
    <t>3.3V + 5V power, CAN bus, tether status from EPS</t>
  </si>
  <si>
    <t>Sensor Board Connector</t>
  </si>
  <si>
    <t>Harwin M20-7821446-ND</t>
  </si>
  <si>
    <t>Interface to sensor interface daughterboard</t>
  </si>
  <si>
    <t>Magnetorquer Connector</t>
  </si>
  <si>
    <t>Molex WM3264-ND</t>
  </si>
  <si>
    <t>Power + PWM + direction to magnetorquer board</t>
  </si>
  <si>
    <t>Tether Power / Signal Connector</t>
  </si>
  <si>
    <t>Molex WM1784-ND</t>
  </si>
  <si>
    <t>Tether current sense + deployment status signals</t>
  </si>
  <si>
    <t>Total</t>
  </si>
  <si>
    <t>Custom-Built Magnetorquers</t>
  </si>
  <si>
    <t>N/A</t>
  </si>
  <si>
    <t>Only one magnetorquer rod will be used for the FlatSat</t>
  </si>
  <si>
    <t>STM32L4 preferred for lower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</si>
</sst>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&quot;$&quot;#,##0.00;[Red]\-&quot;$&quot;#,##0.00"/>
    <numFmt numFmtId="166" formatCode="\$#,##0.00_);[Red]&quot;($&quot;#,##0.00\)"/>
  </numFmts>
  <fonts count="6" x14ac:knownFonts="1">
    <font>
      <sz val="12"/>
      <color theme="1"/>
      <name val="Aptos Narrow"/>
      <family val="2"/>
      <charset val="1"/>
    </font>
    <font>
      <b/>
      <sz val="12"/>
      <color rgb="FFCB0102"/>
      <name val="Aptos Narrow"/>
    </font>
    <font>
      <b/>
      <sz val="12"/>
      <color theme="0"/>
      <name val="Aptos Narrow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E8E8E8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166" fontId="3" fillId="0" borderId="0" xfId="0" applyNumberFormat="1" applyFont="1"/>
    <xf numFmtId="0" fontId="4" fillId="0" borderId="0" xfId="0" applyFont="1"/>
    <xf numFmtId="165" fontId="3" fillId="0" borderId="0" xfId="0" applyNumberFormat="1" applyFont="1"/>
    <xf numFmtId="164" fontId="3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B01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3"/>
  <sheetViews>
    <sheetView tabSelected="1" zoomScale="75" zoomScaleNormal="75" workbookViewId="0">
      <selection activeCell="P22" sqref="P22"/>
    </sheetView>
  </sheetViews>
  <sheetFormatPr baseColWidth="10" defaultColWidth="11" defaultRowHeight="16" x14ac:dyDescent="0.2"/>
  <cols>
    <col min="1" max="1" width="2.33203125" customWidth="1"/>
    <col min="2" max="2" width="19.1640625" customWidth="1"/>
    <col min="3" max="3" width="24" customWidth="1"/>
    <col min="4" max="4" width="10" customWidth="1"/>
    <col min="5" max="5" width="55" customWidth="1"/>
    <col min="6" max="6" width="16.6640625" customWidth="1"/>
    <col min="7" max="7" width="10" customWidth="1"/>
    <col min="8" max="8" width="16.6640625" customWidth="1"/>
    <col min="9" max="9" width="40" customWidth="1"/>
  </cols>
  <sheetData>
    <row r="2" spans="1:9" x14ac:dyDescent="0.2">
      <c r="B2" s="8" t="s">
        <v>0</v>
      </c>
      <c r="C2" s="8"/>
      <c r="D2" s="8"/>
      <c r="E2" s="8"/>
      <c r="F2" s="8"/>
      <c r="G2" s="8"/>
      <c r="H2" s="8"/>
      <c r="I2" s="8"/>
    </row>
    <row r="3" spans="1:9" x14ac:dyDescent="0.2">
      <c r="B3" s="9" t="s">
        <v>1</v>
      </c>
      <c r="C3" s="9"/>
      <c r="D3" s="9"/>
      <c r="E3" s="9"/>
      <c r="F3" s="9"/>
      <c r="G3" s="9"/>
      <c r="H3" s="9"/>
      <c r="I3" s="9"/>
    </row>
    <row r="4" spans="1:9" x14ac:dyDescent="0.2">
      <c r="B4" s="9" t="s">
        <v>2</v>
      </c>
      <c r="C4" s="9"/>
      <c r="D4" s="9"/>
      <c r="E4" s="9"/>
      <c r="F4" s="9"/>
      <c r="G4" s="9"/>
      <c r="H4" s="9"/>
      <c r="I4" s="9"/>
    </row>
    <row r="6" spans="1:9" x14ac:dyDescent="0.2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</row>
    <row r="8" spans="1:9" x14ac:dyDescent="0.2">
      <c r="A8" s="2"/>
      <c r="B8" s="3" t="s">
        <v>11</v>
      </c>
      <c r="C8" s="3"/>
      <c r="D8" s="3"/>
      <c r="E8" s="3"/>
      <c r="F8" s="3"/>
      <c r="G8" s="3"/>
      <c r="H8" s="3"/>
      <c r="I8" s="3"/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 t="s">
        <v>12</v>
      </c>
      <c r="D10" s="2">
        <v>1</v>
      </c>
      <c r="E10" s="2" t="s">
        <v>13</v>
      </c>
      <c r="F10" s="4">
        <v>17.43</v>
      </c>
      <c r="G10" s="2">
        <v>1</v>
      </c>
      <c r="H10" s="4">
        <f>F10*G10</f>
        <v>17.43</v>
      </c>
      <c r="I10" s="2" t="s">
        <v>76</v>
      </c>
    </row>
    <row r="11" spans="1:9" x14ac:dyDescent="0.2">
      <c r="A11" s="2"/>
      <c r="B11" s="2"/>
      <c r="C11" s="2" t="s">
        <v>14</v>
      </c>
      <c r="D11" s="2">
        <v>1</v>
      </c>
      <c r="E11" s="2" t="s">
        <v>15</v>
      </c>
      <c r="F11" s="4">
        <v>4.4800000000000004</v>
      </c>
      <c r="G11" s="2">
        <v>1</v>
      </c>
      <c r="H11" s="4">
        <f>F11*G11</f>
        <v>4.4800000000000004</v>
      </c>
      <c r="I11" s="2" t="s">
        <v>16</v>
      </c>
    </row>
    <row r="12" spans="1:9" x14ac:dyDescent="0.2">
      <c r="A12" s="2"/>
      <c r="B12" s="2"/>
      <c r="C12" s="2" t="s">
        <v>17</v>
      </c>
      <c r="D12" s="2">
        <v>1</v>
      </c>
      <c r="E12" s="2" t="s">
        <v>18</v>
      </c>
      <c r="F12" s="4">
        <v>5.47</v>
      </c>
      <c r="G12" s="2">
        <v>1</v>
      </c>
      <c r="H12" s="4">
        <f>F12*G12</f>
        <v>5.47</v>
      </c>
      <c r="I12" s="2" t="s">
        <v>19</v>
      </c>
    </row>
    <row r="13" spans="1:9" x14ac:dyDescent="0.2">
      <c r="A13" s="2"/>
      <c r="B13" s="2"/>
      <c r="C13" s="2" t="s">
        <v>20</v>
      </c>
      <c r="D13" s="2">
        <v>1</v>
      </c>
      <c r="E13" s="2" t="s">
        <v>21</v>
      </c>
      <c r="F13" s="2">
        <v>1.5</v>
      </c>
      <c r="G13" s="2">
        <v>1</v>
      </c>
      <c r="H13" s="2">
        <f>F13*G13</f>
        <v>1.5</v>
      </c>
      <c r="I13" s="2" t="s">
        <v>22</v>
      </c>
    </row>
    <row r="14" spans="1:9" x14ac:dyDescent="0.2">
      <c r="A14" s="2"/>
      <c r="B14" s="3" t="s">
        <v>23</v>
      </c>
      <c r="C14" s="3"/>
      <c r="D14" s="3"/>
      <c r="E14" s="3"/>
      <c r="F14" s="3"/>
      <c r="G14" s="3"/>
      <c r="H14" s="3"/>
      <c r="I14" s="3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 t="s">
        <v>24</v>
      </c>
      <c r="D16" s="2">
        <v>1</v>
      </c>
      <c r="E16" s="2" t="s">
        <v>25</v>
      </c>
      <c r="F16" s="2" t="s">
        <v>26</v>
      </c>
      <c r="G16" s="2">
        <v>1</v>
      </c>
      <c r="H16" s="2" t="s">
        <v>26</v>
      </c>
      <c r="I16" s="2" t="s">
        <v>27</v>
      </c>
    </row>
    <row r="17" spans="1:9" x14ac:dyDescent="0.2">
      <c r="A17" s="2"/>
      <c r="B17" s="2"/>
      <c r="C17" s="2" t="s">
        <v>28</v>
      </c>
      <c r="D17" s="2">
        <v>1</v>
      </c>
      <c r="E17" s="2" t="s">
        <v>29</v>
      </c>
      <c r="F17" s="6">
        <v>1.92</v>
      </c>
      <c r="G17" s="2">
        <v>2</v>
      </c>
      <c r="H17" s="6">
        <f>F17*G17</f>
        <v>3.84</v>
      </c>
      <c r="I17" s="2" t="s">
        <v>30</v>
      </c>
    </row>
    <row r="18" spans="1:9" x14ac:dyDescent="0.2">
      <c r="A18" s="2"/>
      <c r="B18" s="2"/>
      <c r="C18" s="2" t="s">
        <v>31</v>
      </c>
      <c r="D18" s="2">
        <v>1</v>
      </c>
      <c r="E18" s="2" t="s">
        <v>29</v>
      </c>
      <c r="F18" s="6">
        <v>1.92</v>
      </c>
      <c r="G18" s="2">
        <v>2</v>
      </c>
      <c r="H18" s="6">
        <f>F18*G18</f>
        <v>3.84</v>
      </c>
      <c r="I18" s="2" t="s">
        <v>32</v>
      </c>
    </row>
    <row r="19" spans="1:9" x14ac:dyDescent="0.2">
      <c r="A19" s="2"/>
      <c r="B19" s="2"/>
      <c r="C19" s="2" t="s">
        <v>33</v>
      </c>
      <c r="D19" s="2">
        <v>1</v>
      </c>
      <c r="E19" s="2" t="s">
        <v>34</v>
      </c>
      <c r="F19" s="6">
        <v>1.31</v>
      </c>
      <c r="G19" s="2">
        <v>20</v>
      </c>
      <c r="H19" s="6">
        <f>F19*G19</f>
        <v>26.200000000000003</v>
      </c>
      <c r="I19" s="2" t="s">
        <v>35</v>
      </c>
    </row>
    <row r="20" spans="1:9" x14ac:dyDescent="0.2">
      <c r="A20" s="2"/>
      <c r="B20" s="3" t="s">
        <v>36</v>
      </c>
      <c r="C20" s="3"/>
      <c r="D20" s="3"/>
      <c r="E20" s="3"/>
      <c r="F20" s="3"/>
      <c r="G20" s="3"/>
      <c r="H20" s="3"/>
      <c r="I20" s="3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2"/>
      <c r="B22" s="2"/>
      <c r="C22" s="2" t="s">
        <v>37</v>
      </c>
      <c r="D22" s="2">
        <v>1</v>
      </c>
      <c r="E22" s="2" t="s">
        <v>38</v>
      </c>
      <c r="F22" s="6">
        <v>14.33</v>
      </c>
      <c r="G22" s="2">
        <v>1</v>
      </c>
      <c r="H22" s="6">
        <f t="shared" ref="H22:H27" si="0">F22*G22</f>
        <v>14.33</v>
      </c>
      <c r="I22" s="2" t="s">
        <v>39</v>
      </c>
    </row>
    <row r="23" spans="1:9" x14ac:dyDescent="0.2">
      <c r="A23" s="2"/>
      <c r="B23" s="2"/>
      <c r="C23" s="2" t="s">
        <v>40</v>
      </c>
      <c r="D23" s="2">
        <v>1</v>
      </c>
      <c r="E23" s="2" t="s">
        <v>41</v>
      </c>
      <c r="F23" s="6">
        <v>12.32</v>
      </c>
      <c r="G23" s="2">
        <v>1</v>
      </c>
      <c r="H23" s="6">
        <f t="shared" si="0"/>
        <v>12.32</v>
      </c>
      <c r="I23" s="2" t="s">
        <v>42</v>
      </c>
    </row>
    <row r="24" spans="1:9" x14ac:dyDescent="0.2">
      <c r="A24" s="2"/>
      <c r="B24" s="2"/>
      <c r="C24" s="2" t="s">
        <v>43</v>
      </c>
      <c r="D24" s="2">
        <v>1</v>
      </c>
      <c r="E24" s="2" t="s">
        <v>44</v>
      </c>
      <c r="F24" s="6">
        <v>2.91</v>
      </c>
      <c r="G24" s="2">
        <v>4</v>
      </c>
      <c r="H24" s="6">
        <f t="shared" si="0"/>
        <v>11.64</v>
      </c>
      <c r="I24" s="2" t="s">
        <v>45</v>
      </c>
    </row>
    <row r="25" spans="1:9" x14ac:dyDescent="0.2">
      <c r="A25" s="2"/>
      <c r="B25" s="2"/>
      <c r="C25" s="2" t="s">
        <v>46</v>
      </c>
      <c r="D25" s="2">
        <v>1</v>
      </c>
      <c r="E25" s="2" t="s">
        <v>47</v>
      </c>
      <c r="F25" s="6">
        <v>14.46</v>
      </c>
      <c r="G25" s="2">
        <v>4</v>
      </c>
      <c r="H25" s="6">
        <f t="shared" si="0"/>
        <v>57.84</v>
      </c>
      <c r="I25" s="2" t="s">
        <v>48</v>
      </c>
    </row>
    <row r="26" spans="1:9" x14ac:dyDescent="0.2">
      <c r="A26" s="2"/>
      <c r="B26" s="2"/>
      <c r="C26" s="2" t="s">
        <v>49</v>
      </c>
      <c r="D26" s="2">
        <v>1</v>
      </c>
      <c r="E26" s="2" t="s">
        <v>50</v>
      </c>
      <c r="F26" s="6">
        <v>6.03</v>
      </c>
      <c r="G26" s="2">
        <v>1</v>
      </c>
      <c r="H26" s="6">
        <f t="shared" si="0"/>
        <v>6.03</v>
      </c>
      <c r="I26" s="2" t="s">
        <v>51</v>
      </c>
    </row>
    <row r="27" spans="1:9" x14ac:dyDescent="0.2">
      <c r="A27" s="2"/>
      <c r="B27" s="2"/>
      <c r="C27" s="2" t="s">
        <v>52</v>
      </c>
      <c r="D27" s="2">
        <v>1</v>
      </c>
      <c r="E27" s="2" t="s">
        <v>53</v>
      </c>
      <c r="F27" s="6">
        <v>0.74</v>
      </c>
      <c r="G27" s="2">
        <v>3</v>
      </c>
      <c r="H27" s="6">
        <f t="shared" si="0"/>
        <v>2.2199999999999998</v>
      </c>
      <c r="I27" s="2" t="s">
        <v>54</v>
      </c>
    </row>
    <row r="28" spans="1:9" x14ac:dyDescent="0.2">
      <c r="A28" s="2"/>
      <c r="B28" s="3" t="s">
        <v>55</v>
      </c>
      <c r="C28" s="3"/>
      <c r="D28" s="3"/>
      <c r="E28" s="3"/>
      <c r="F28" s="3"/>
      <c r="G28" s="3"/>
      <c r="H28" s="3"/>
      <c r="I28" s="3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 t="s">
        <v>73</v>
      </c>
      <c r="D30" s="2">
        <v>1</v>
      </c>
      <c r="E30" s="2"/>
      <c r="F30" s="2" t="s">
        <v>74</v>
      </c>
      <c r="G30" s="2">
        <v>1</v>
      </c>
      <c r="H30" s="7" t="s">
        <v>74</v>
      </c>
      <c r="I30" s="2" t="s">
        <v>75</v>
      </c>
    </row>
    <row r="31" spans="1:9" x14ac:dyDescent="0.2">
      <c r="A31" s="2"/>
      <c r="B31" s="2"/>
      <c r="C31" s="2" t="s">
        <v>56</v>
      </c>
      <c r="D31" s="2">
        <v>1</v>
      </c>
      <c r="E31" s="2" t="s">
        <v>57</v>
      </c>
      <c r="F31" s="6">
        <v>3.5</v>
      </c>
      <c r="G31" s="2">
        <v>3</v>
      </c>
      <c r="H31" s="2">
        <f>F31*G31</f>
        <v>10.5</v>
      </c>
      <c r="I31" s="2" t="s">
        <v>58</v>
      </c>
    </row>
    <row r="32" spans="1:9" x14ac:dyDescent="0.2">
      <c r="A32" s="2"/>
      <c r="B32" s="3" t="s">
        <v>59</v>
      </c>
      <c r="C32" s="3"/>
      <c r="D32" s="3"/>
      <c r="E32" s="3"/>
      <c r="F32" s="3"/>
      <c r="G32" s="3"/>
      <c r="H32" s="3"/>
      <c r="I32" s="3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">
      <c r="A34" s="2"/>
      <c r="B34" s="2"/>
      <c r="C34" s="2" t="s">
        <v>60</v>
      </c>
      <c r="D34" s="2">
        <v>1</v>
      </c>
      <c r="E34" s="2" t="s">
        <v>61</v>
      </c>
      <c r="F34" s="6">
        <v>1.05</v>
      </c>
      <c r="G34" s="2">
        <v>1</v>
      </c>
      <c r="H34" s="2">
        <f>F34*G34</f>
        <v>1.05</v>
      </c>
      <c r="I34" s="2" t="s">
        <v>62</v>
      </c>
    </row>
    <row r="35" spans="1:9" x14ac:dyDescent="0.2">
      <c r="A35" s="2"/>
      <c r="B35" s="2"/>
      <c r="C35" s="2" t="s">
        <v>63</v>
      </c>
      <c r="D35" s="2">
        <v>1</v>
      </c>
      <c r="E35" s="2" t="s">
        <v>64</v>
      </c>
      <c r="F35" s="6">
        <v>2.63</v>
      </c>
      <c r="G35" s="2">
        <v>1</v>
      </c>
      <c r="H35" s="2">
        <f>F35*G35</f>
        <v>2.63</v>
      </c>
      <c r="I35" s="2" t="s">
        <v>65</v>
      </c>
    </row>
    <row r="36" spans="1:9" x14ac:dyDescent="0.2">
      <c r="A36" s="2"/>
      <c r="B36" s="2"/>
      <c r="C36" s="2" t="s">
        <v>66</v>
      </c>
      <c r="D36" s="2">
        <v>1</v>
      </c>
      <c r="E36" s="2" t="s">
        <v>67</v>
      </c>
      <c r="F36" s="6">
        <v>2.5</v>
      </c>
      <c r="G36" s="2">
        <v>1</v>
      </c>
      <c r="H36" s="2">
        <f>F36*G36</f>
        <v>2.5</v>
      </c>
      <c r="I36" s="2" t="s">
        <v>68</v>
      </c>
    </row>
    <row r="37" spans="1:9" x14ac:dyDescent="0.2">
      <c r="A37" s="2"/>
      <c r="B37" s="2"/>
      <c r="C37" s="2" t="s">
        <v>69</v>
      </c>
      <c r="D37" s="2">
        <v>1</v>
      </c>
      <c r="E37" s="2" t="s">
        <v>70</v>
      </c>
      <c r="F37" s="6">
        <v>0.67</v>
      </c>
      <c r="G37" s="2">
        <v>1</v>
      </c>
      <c r="H37" s="2">
        <f>F37*G37</f>
        <v>0.67</v>
      </c>
      <c r="I37" s="2" t="s">
        <v>71</v>
      </c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2"/>
      <c r="B39" s="5" t="s">
        <v>72</v>
      </c>
      <c r="C39" s="5"/>
      <c r="D39" s="5"/>
      <c r="E39" s="5"/>
      <c r="F39" s="5"/>
      <c r="G39" s="5"/>
      <c r="H39" s="10">
        <f>SUM(H10:H13,H16:H19,H22:H27,H30:H31,H34:H37)</f>
        <v>184.48999999999998</v>
      </c>
      <c r="I39" s="5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4"/>
      <c r="I43" s="2"/>
    </row>
  </sheetData>
  <mergeCells count="3">
    <mergeCell ref="B2:I2"/>
    <mergeCell ref="B3:I3"/>
    <mergeCell ref="B4:I4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62eb01-01fe-4c8d-b8bc-68fd85b6ffb0">
      <Terms xmlns="http://schemas.microsoft.com/office/infopath/2007/PartnerControls"/>
    </lcf76f155ced4ddcb4097134ff3c332f>
    <TaxCatchAll xmlns="71a6f736-2cfb-4f25-aacf-e7dc5b5404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8AF3AE799C54299DC287BF7A36D29" ma:contentTypeVersion="16" ma:contentTypeDescription="Create a new document." ma:contentTypeScope="" ma:versionID="d99cb6629b30ff5ea6ccd5db6affdd61">
  <xsd:schema xmlns:xsd="http://www.w3.org/2001/XMLSchema" xmlns:xs="http://www.w3.org/2001/XMLSchema" xmlns:p="http://schemas.microsoft.com/office/2006/metadata/properties" xmlns:ns2="8c62eb01-01fe-4c8d-b8bc-68fd85b6ffb0" xmlns:ns3="71a6f736-2cfb-4f25-aacf-e7dc5b5404a5" targetNamespace="http://schemas.microsoft.com/office/2006/metadata/properties" ma:root="true" ma:fieldsID="32377901e99600def4ee518b36a1ef4a" ns2:_="" ns3:_="">
    <xsd:import namespace="8c62eb01-01fe-4c8d-b8bc-68fd85b6ffb0"/>
    <xsd:import namespace="71a6f736-2cfb-4f25-aacf-e7dc5b540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2eb01-01fe-4c8d-b8bc-68fd85b6ff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bd2e69d-a885-47d9-a849-8bc90acf94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6f736-2cfb-4f25-aacf-e7dc5b5404a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a4be9b2-f662-49af-af47-1abc14e8f3c1}" ma:internalName="TaxCatchAll" ma:showField="CatchAllData" ma:web="71a6f736-2cfb-4f25-aacf-e7dc5b540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87FB6F-2409-49AF-8A2C-04C0F4F9DCEE}">
  <ds:schemaRefs>
    <ds:schemaRef ds:uri="http://purl.org/dc/elements/1.1/"/>
    <ds:schemaRef ds:uri="http://purl.org/dc/dcmitype/"/>
    <ds:schemaRef ds:uri="http://purl.org/dc/terms/"/>
    <ds:schemaRef ds:uri="71a6f736-2cfb-4f25-aacf-e7dc5b5404a5"/>
    <ds:schemaRef ds:uri="http://www.w3.org/XML/1998/namespace"/>
    <ds:schemaRef ds:uri="8c62eb01-01fe-4c8d-b8bc-68fd85b6ffb0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4B0D97A-CC73-4675-B88F-C60AD7B337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017738-19F0-4C27-8517-A32898DA7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62eb01-01fe-4c8d-b8bc-68fd85b6ffb0"/>
    <ds:schemaRef ds:uri="71a6f736-2cfb-4f25-aacf-e7dc5b540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Marianna Shumelda</dc:creator>
  <cp:keywords/>
  <dc:description/>
  <cp:lastModifiedBy>Matthew Mora Vargas</cp:lastModifiedBy>
  <cp:revision>0</cp:revision>
  <dcterms:created xsi:type="dcterms:W3CDTF">2026-06-11T20:20:04Z</dcterms:created>
  <dcterms:modified xsi:type="dcterms:W3CDTF">2026-10-12T00:51:13Z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0x010100C258AF3AE799C54299DC287BF7A36D29</vt:lpwstr>
  </property>
  <property fmtid="{D5CDD505-2E9C-101B-9397-08002B2CF9AE}" pid="3" name="MediaServiceImageTags">
    <vt:lpwstr/>
  </property>
</Properties>
</file>