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BOM &amp; Stock" sheetId="1" state="visible" r:id="rId3"/>
    <sheet name="Trade Study &amp; Rationale" sheetId="2" state="visible" r:id="rId4"/>
    <sheet name="Interface &amp; Architectu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<sst xmlns="http://schemas.openxmlformats.org/spreadsheetml/2006/main" count="332" uniqueCount="258">
  <si>
    <t xml:space="preserve">CubeSat 3-Axis Magnetorquer Board — Selected Bill of Materials &amp; Live Availability</t>
  </si>
  <si>
    <t xml:space="preserve">Distributor Stock Verified via DigiKey &amp; Mouser MCPs | Target: 1S/2S EPS Bus (~3.3V-8.4V) | 100% Leaded Hand-Solderable Packages</t>
  </si>
  <si>
    <t xml:space="preserve">Item</t>
  </si>
  <si>
    <t xml:space="preserve">Subsystem</t>
  </si>
  <si>
    <t xml:space="preserve">Ref Des</t>
  </si>
  <si>
    <t xml:space="preserve">Description</t>
  </si>
  <si>
    <t xml:space="preserve">Manufacturer Part Number (MPN)</t>
  </si>
  <si>
    <t xml:space="preserve">Manufacturer</t>
  </si>
  <si>
    <t xml:space="preserve">Package</t>
  </si>
  <si>
    <t xml:space="preserve">Pitch</t>
  </si>
  <si>
    <t xml:space="preserve">Hand Solder?</t>
  </si>
  <si>
    <t xml:space="preserve">Qty</t>
  </si>
  <si>
    <t xml:space="preserve">Unit Cost (USD)</t>
  </si>
  <si>
    <t xml:space="preserve">Ext Cost (USD)</t>
  </si>
  <si>
    <t xml:space="preserve">DigiKey Stock</t>
  </si>
  <si>
    <t xml:space="preserve">Mouser Stock</t>
  </si>
  <si>
    <t xml:space="preserve">Overall Availability</t>
  </si>
  <si>
    <t xml:space="preserve">DigiKey / Mouser Part No.</t>
  </si>
  <si>
    <t xml:space="preserve">Notes &amp; Sourcing Guidance</t>
  </si>
  <si>
    <t xml:space="preserve">Current Limiter</t>
  </si>
  <si>
    <t xml:space="preserve">U1, U2</t>
  </si>
  <si>
    <t xml:space="preserve">100V Protection Controller &amp; Bidirectional Circuit Breaker</t>
  </si>
  <si>
    <t xml:space="preserve">LTC4368CMS-1#PBF</t>
  </si>
  <si>
    <t xml:space="preserve">Analog Devices</t>
  </si>
  <si>
    <t xml:space="preserve">10-MSOP</t>
  </si>
  <si>
    <t xml:space="preserve">0.50 mm</t>
  </si>
  <si>
    <t xml:space="preserve">Yes</t>
  </si>
  <si>
    <t xml:space="preserve">On Order (Alt: CMS-2 979)</t>
  </si>
  <si>
    <t xml:space="preserve">279 In Stock</t>
  </si>
  <si>
    <t xml:space="preserve">In Stock (Mouser)</t>
  </si>
  <si>
    <t xml:space="preserve">DK: 505-LTC4368CMS-1#PBF-ND | Mouser: 584-LTC4368CMS1PBF</t>
  </si>
  <si>
    <t xml:space="preserve">279 in stock at Mouser. DigiKey has pin-compatible CMS-2#PBF (979 in stock; -3mV reverse threshold). Handles 2.5V-60V Vin, 100V surge.</t>
  </si>
  <si>
    <t xml:space="preserve">Voltage Sense</t>
  </si>
  <si>
    <t xml:space="preserve">U3</t>
  </si>
  <si>
    <t xml:space="preserve">16-Bit I2C Bus Voltage &amp; Current Monitor with Hardware Alert</t>
  </si>
  <si>
    <t xml:space="preserve">INA226AIDGSR</t>
  </si>
  <si>
    <t xml:space="preserve">Texas Instruments</t>
  </si>
  <si>
    <t xml:space="preserve">10-VSSOP</t>
  </si>
  <si>
    <t xml:space="preserve">66,440 In Stock</t>
  </si>
  <si>
    <t xml:space="preserve">8,212 In Stock (GST)</t>
  </si>
  <si>
    <t xml:space="preserve">Abundant (Both)</t>
  </si>
  <si>
    <t xml:space="preserve">DK: 296-29034-2-ND | Mouser: 595-INA226AIDGST</t>
  </si>
  <si>
    <t xml:space="preserve">Massive stock at both distributors. 0-36V direct bus monitoring without voltage dividers; programmable ALERT pin.</t>
  </si>
  <si>
    <t xml:space="preserve">Power Inductor</t>
  </si>
  <si>
    <t xml:space="preserve">L1</t>
  </si>
  <si>
    <t xml:space="preserve">Shielded SMT Power Inductor (10 µH)</t>
  </si>
  <si>
    <t xml:space="preserve">74438323100</t>
  </si>
  <si>
    <t xml:space="preserve">Würth Elektronik</t>
  </si>
  <si>
    <t xml:space="preserve">SMD 2520</t>
  </si>
  <si>
    <t xml:space="preserve">Surface Mount</t>
  </si>
  <si>
    <t xml:space="preserve">11,467 In Stock</t>
  </si>
  <si>
    <t xml:space="preserve">23,226 In Stock</t>
  </si>
  <si>
    <t xml:space="preserve">DK: 732-4851-2-ND | Mouser: 710-74438323100</t>
  </si>
  <si>
    <t xml:space="preserve">Massive stock at both distributors. 10 µH, shielded WE-MAPI construction to minimize magnetic EMI near ADCS sensors.</t>
  </si>
  <si>
    <t xml:space="preserve">Microcontroller (MCU)</t>
  </si>
  <si>
    <t xml:space="preserve">U5</t>
  </si>
  <si>
    <t xml:space="preserve">32-bit ARM Cortex-M4F MCU with SRAM ECC &amp; Dual CAN-FD</t>
  </si>
  <si>
    <t xml:space="preserve">ATSAME51J20A-AF</t>
  </si>
  <si>
    <t xml:space="preserve">Microchip Technology</t>
  </si>
  <si>
    <t xml:space="preserve">TQFP-64</t>
  </si>
  <si>
    <t xml:space="preserve">45 In Stock</t>
  </si>
  <si>
    <t xml:space="preserve">3,693 In Stock</t>
  </si>
  <si>
    <t xml:space="preserve">In Stock (Both)</t>
  </si>
  <si>
    <t xml:space="preserve">DK: ATSAME51J20A-AF-ND | Mouser: 556-ATSAME51J20A-AF</t>
  </si>
  <si>
    <t xml:space="preserve">3,693 available at Mouser, 45 at DigiKey. On-chip hardware SRAM ECC corrects radiation SEU bit flips; native dual CAN-FD.</t>
  </si>
  <si>
    <t xml:space="preserve">External Watchdog</t>
  </si>
  <si>
    <t xml:space="preserve">U6</t>
  </si>
  <si>
    <t xml:space="preserve">Pin-Selectable Watchdog Timer with 54s Startup Grace Period</t>
  </si>
  <si>
    <t xml:space="preserve">MAX6373KA+T</t>
  </si>
  <si>
    <t xml:space="preserve">Analog Devices / Maxim</t>
  </si>
  <si>
    <t xml:space="preserve">SOT-23-8</t>
  </si>
  <si>
    <t xml:space="preserve">0.65 mm</t>
  </si>
  <si>
    <t xml:space="preserve">9,542 In Stock</t>
  </si>
  <si>
    <t xml:space="preserve">4,708 In Stock</t>
  </si>
  <si>
    <t xml:space="preserve">DK: MAX6373KA+TTR-ND | Mouser: 700-MAX6373KAT</t>
  </si>
  <si>
    <t xml:space="preserve">Abundant stock at both distributors. 54-second boot grace period prevents boot-looping during RTOS/sensor calibration.</t>
  </si>
  <si>
    <t xml:space="preserve">H-Bridge Drivers</t>
  </si>
  <si>
    <t xml:space="preserve">U7, U8</t>
  </si>
  <si>
    <t xml:space="preserve">Dual Full H-Bridge Motor/Actuator Driver with Fault Flag</t>
  </si>
  <si>
    <t xml:space="preserve">DRV8833PWPR</t>
  </si>
  <si>
    <t xml:space="preserve">HTSSOP-16</t>
  </si>
  <si>
    <t xml:space="preserve">342 In Stock</t>
  </si>
  <si>
    <t xml:space="preserve">642 In Stock</t>
  </si>
  <si>
    <t xml:space="preserve">DK: 296-29434-2-ND | Mouser: 595-DRV8833PWPR</t>
  </si>
  <si>
    <t xml:space="preserve">In stock at both distributors. 2 ICs provide 4 full bridges (3 for X, Y, Z coils + 1 spare for deployer burn wire).</t>
  </si>
  <si>
    <t xml:space="preserve">Current Sense (Coils)</t>
  </si>
  <si>
    <t xml:space="preserve">U9, U10, U11</t>
  </si>
  <si>
    <t xml:space="preserve">16-Bit Digital I2C Current &amp; Bus Monitor (1 per Axis)</t>
  </si>
  <si>
    <t xml:space="preserve">Abundant stock at both distributors. 16-bit digital resolution; 16 pin-selectable addresses allow all 3 to share 1 I2C bus.</t>
  </si>
  <si>
    <t xml:space="preserve">I2C Multiplexer</t>
  </si>
  <si>
    <t xml:space="preserve">U12</t>
  </si>
  <si>
    <t xml:space="preserve">4-Channel I2C Bus Switch with Hardware Reset</t>
  </si>
  <si>
    <t xml:space="preserve">TCA9546APWR</t>
  </si>
  <si>
    <t xml:space="preserve">16-TSSOP</t>
  </si>
  <si>
    <t xml:space="preserve">In Stock (Alt Mfr)</t>
  </si>
  <si>
    <t xml:space="preserve">216 In Stock</t>
  </si>
  <si>
    <t xml:space="preserve">DK: 296-40578-2-ND | Mouser: 595-TCA9546APWR</t>
  </si>
  <si>
    <t xml:space="preserve">In stock at Mouser (216 pcs). Separates external coil temperature sensors from onboard avionics; active-low hardware reset.</t>
  </si>
  <si>
    <t xml:space="preserve">Inertial Unit (IMU)</t>
  </si>
  <si>
    <t xml:space="preserve">U13</t>
  </si>
  <si>
    <t xml:space="preserve">5-DOF Combined 2-Axis Gyro (XZ) &amp; 3-Axis Accel (Murata)</t>
  </si>
  <si>
    <t xml:space="preserve">SCC433T-K03-10</t>
  </si>
  <si>
    <t xml:space="preserve">Murata Electronics</t>
  </si>
  <si>
    <t xml:space="preserve">16-SOIC-W</t>
  </si>
  <si>
    <t xml:space="preserve">1.27 mm</t>
  </si>
  <si>
    <t xml:space="preserve">1,293 In Stock</t>
  </si>
  <si>
    <t xml:space="preserve">1,080 In Stock</t>
  </si>
  <si>
    <t xml:space="preserve">In Stock (LTB / EOL)</t>
  </si>
  <si>
    <t xml:space="preserve">DK: 490-SCC433T-K03-10TR-ND | Mouser: 81-SCC433T-K03-10</t>
  </si>
  <si>
    <t xml:space="preserve">Over 2,300 pcs in stock across both distributors, but marked 'Last Time Buy' / EOL. Buy sufficient stock now for project run.</t>
  </si>
  <si>
    <t xml:space="preserve">Magnetometer</t>
  </si>
  <si>
    <t xml:space="preserve">U14</t>
  </si>
  <si>
    <t xml:space="preserve">Triaxis 3D Magnetometer with Dual-Die Redundancy</t>
  </si>
  <si>
    <t xml:space="preserve">MLX90395KGO-BBA-001-SP</t>
  </si>
  <si>
    <t xml:space="preserve">Melexis</t>
  </si>
  <si>
    <t xml:space="preserve">TSSOP-16</t>
  </si>
  <si>
    <t xml:space="preserve">64 In Stock (TSSOP)</t>
  </si>
  <si>
    <t xml:space="preserve">2,408 In Stock (SOIC)</t>
  </si>
  <si>
    <t xml:space="preserve">DK: 413-MLX90395KGO-BBA-001-SP-ND | Mouser: 482-90395KDCBBA101RE</t>
  </si>
  <si>
    <t xml:space="preserve">DigiKey has TSSOP-16 dual-die sample packs (64 pcs). Mouser &amp; DigiKey also have SOIC-8 single-die variant in high volume (&gt;16,000 pcs).</t>
  </si>
  <si>
    <t xml:space="preserve">Temperature Sensors</t>
  </si>
  <si>
    <t xml:space="preserve">U15, U16, U17</t>
  </si>
  <si>
    <t xml:space="preserve">±0.5°C Precision Digital Temperature Sensor with Alert</t>
  </si>
  <si>
    <t xml:space="preserve">MCP9808T-E/MS</t>
  </si>
  <si>
    <t xml:space="preserve">8-MSOP</t>
  </si>
  <si>
    <t xml:space="preserve">21,327 In Stock</t>
  </si>
  <si>
    <t xml:space="preserve">23,694 In Stock</t>
  </si>
  <si>
    <t xml:space="preserve">DK: MCP9808T-E/MSTR-ND | Mouser: 579-MCP9808T-E/MS</t>
  </si>
  <si>
    <t xml:space="preserve">Tens of thousands in stock across both. High accuracy for copper resistance tempco compensation; hardware ALERT pin.</t>
  </si>
  <si>
    <t xml:space="preserve">CAN Transceiver</t>
  </si>
  <si>
    <t xml:space="preserve">U18</t>
  </si>
  <si>
    <t xml:space="preserve">3.3V CAN-FD Transceiver with &lt;1µA Shutdown Mode</t>
  </si>
  <si>
    <t xml:space="preserve">TCAN334GD</t>
  </si>
  <si>
    <t xml:space="preserve">SOIC-8</t>
  </si>
  <si>
    <t xml:space="preserve">680 In Stock (GDR)</t>
  </si>
  <si>
    <t xml:space="preserve">22,449 In Stock</t>
  </si>
  <si>
    <t xml:space="preserve">DK: 296-49940-2-ND | Mouser: 595-TCAN334GD</t>
  </si>
  <si>
    <t xml:space="preserve">Over 23,000 pcs in stock across both distributors. Pure 3.3V single supply (no 5V rail required); supports 5 Mbps CAN-FD.</t>
  </si>
  <si>
    <t xml:space="preserve">TOTAL ESTIMATED ACTIVE IC &amp; INDUCTOR BOM COST:</t>
  </si>
  <si>
    <t xml:space="preserve">Availability &amp; Sourcing Observations (October 2026):</t>
  </si>
  <si>
    <t xml:space="preserve">1. ALL 13 components currently have verified inventory in stock at either DigiKey or Mouser (or both).</t>
  </si>
  <si>
    <t xml:space="preserve">2. High Availability: INA226, LTC3115-1, MAX6373, MCP9808, TCAN334, and 74438323100 have massive multi-thousand unit stock at both vendors.</t>
  </si>
  <si>
    <t xml:space="preserve">3. Sourcing Alert on IMU (SCC433T-K03-10): Over 2,300 total units are available (1,293 at DigiKey, 1,080 at Mouser), but the device is designated 'Last Time Buy' / EOL. Order required quantities early for your build.</t>
  </si>
  <si>
    <t xml:space="preserve">4. Sourcing Alert on Magnetometer (MLX90395): The dual-die TSSOP-16 package (MLX90395KGO-BBA-001-SP) is in stock at DigiKey (64 pcs). The single-die SOIC-8 variant (MLX90395KDC-BBA-101-RE) has over 16,000 units in stock across DigiKey and Mouser.</t>
  </si>
  <si>
    <t xml:space="preserve">5. Current Limiter (LTC4368CMS-1#PBF): 279 in stock at Mouser. DigiKey stocks the identical CMS-2#PBF variant (979 units; diode-like -3mV reverse shutoff).</t>
  </si>
  <si>
    <t xml:space="preserve">6. Pricing is based on DigiKey/Mouser 1-piece cut-tape/tube unit pricing in USD as of live query.</t>
  </si>
  <si>
    <t xml:space="preserve">CubeSat Magnetorquer Board — Subsystem Trade Study &amp; Component Comparison</t>
  </si>
  <si>
    <t xml:space="preserve">Shortlisted Option A</t>
  </si>
  <si>
    <t xml:space="preserve">Shortlisted Option B</t>
  </si>
  <si>
    <t xml:space="preserve">Selected Winner</t>
  </si>
  <si>
    <t xml:space="preserve">Package Comparison</t>
  </si>
  <si>
    <t xml:space="preserve">Key Trade-Off &amp; Engineering Deciding Factor</t>
  </si>
  <si>
    <t xml:space="preserve">Risk / Mitigation</t>
  </si>
  <si>
    <t xml:space="preserve">Current Limiter / eFuse</t>
  </si>
  <si>
    <t xml:space="preserve">TPS16530PWPR</t>
  </si>
  <si>
    <t xml:space="preserve">10-MSOP (0.5mm) vs HTSSOP-20 (0.65mm)</t>
  </si>
  <si>
    <t xml:space="preserve">TPS16530 cuts off below 4.5V (cannot support 3.3V or 1S Li-ion). LTC4368 operates down to 2.5V and withstands 100V transients from coil switching with zero-heat external FET.</t>
  </si>
  <si>
    <t xml:space="preserve">External FET required; select low RDS(on) N-FET (e.g. SiR870DP).</t>
  </si>
  <si>
    <t xml:space="preserve">EPS Voltage Sense</t>
  </si>
  <si>
    <t xml:space="preserve">LTC2990CMS#PBF</t>
  </si>
  <si>
    <t xml:space="preserve">10-VSSOP (0.5mm) vs 10-MSOP (0.5mm)</t>
  </si>
  <si>
    <t xml:space="preserve">INA226 senses 0-36V directly without dividers; 16-bit Sigma-Delta ADC; hardware ALERT pin trips on bus sag; extensive flight heritage.</t>
  </si>
  <si>
    <t xml:space="preserve">Address pins must be strapped to GND/VS/SDA/SCL to set unique address.</t>
  </si>
  <si>
    <t xml:space="preserve">DC-DC Buck-Boost</t>
  </si>
  <si>
    <t xml:space="preserve">LTC3115EFE-1#PBF</t>
  </si>
  <si>
    <t xml:space="preserve">TPS631000DRLR</t>
  </si>
  <si>
    <t xml:space="preserve">16-TSSOP (0.65mm) vs SOT-583 (0.5mm)</t>
  </si>
  <si>
    <t xml:space="preserve">TPS631000 max Vin is strictly 5.5V (catastrophic failure on 2S 8.4V bus!). LTC3115 handles 2.7V to 40V, provides up to 2A, and has Aerospace Corp heavy-ion test data.</t>
  </si>
  <si>
    <t xml:space="preserve">Requires shielded power inductor; use WE-MAPI 2520/3020 for low EMI.</t>
  </si>
  <si>
    <t xml:space="preserve">STM32L476RGT6</t>
  </si>
  <si>
    <t xml:space="preserve">TQFP-64 (0.5mm) vs LQFP-64 (0.5mm)</t>
  </si>
  <si>
    <t xml:space="preserve">ATSAME51 features on-chip SECDED Hardware ECC on SRAM (essential for LEO cosmic ray SEU mitigation) and dual native CAN-FD controllers vs CAN 2.0B on STM32L4.</t>
  </si>
  <si>
    <t xml:space="preserve">Slightly higher active current than STM32L4; manage clock gating.</t>
  </si>
  <si>
    <t xml:space="preserve">TPS3823-33DBVR</t>
  </si>
  <si>
    <t xml:space="preserve">SOT-23-8 (0.65mm) vs SOT-23-5 (0.95mm)</t>
  </si>
  <si>
    <t xml:space="preserve">TPS3823 has a rigid 1.6s timeout that causes boot-loops during RTOS/sensor init. MAX6373 provides a 54-second boot grace period and pin-strapped timeouts (no timing caps).</t>
  </si>
  <si>
    <t xml:space="preserve">Tie SET0-SET2 pins directly to VDD/GND for desired timeout window.</t>
  </si>
  <si>
    <t xml:space="preserve">INA226AIDGSR (Digital)</t>
  </si>
  <si>
    <t xml:space="preserve">INA240A1PWR (Analog)</t>
  </si>
  <si>
    <t xml:space="preserve">10-VSSOP (0.5mm) vs 8-TSSOP (0.65mm)</t>
  </si>
  <si>
    <t xml:space="preserve">INA226 provides 16-bit digital current readings directly in mA via I2C, freeing MCU ADC pins. 16 unique I2C addresses allow all 3 to sit on one bus without a multiplexer.</t>
  </si>
  <si>
    <t xml:space="preserve">If cycle-by-cycle PWM current control is required, INA240 analog amp is preferred.</t>
  </si>
  <si>
    <t xml:space="preserve">Temperature Sensor</t>
  </si>
  <si>
    <t xml:space="preserve">TMP1075DGKR</t>
  </si>
  <si>
    <t xml:space="preserve">8-MSOP (0.65mm) vs 8-VSSOP (0.5mm)</t>
  </si>
  <si>
    <t xml:space="preserve">0.65 mm pitch is significantly easier to hand-solder. High ±0.5°C accuracy for copper tempco compensation (+0.393%/°C). Hardware ALERT pin enables autonomous driver shutdown.</t>
  </si>
  <si>
    <t xml:space="preserve">Place thermal vias directly beneath sensor to coil return trace.</t>
  </si>
  <si>
    <t xml:space="preserve">MCP2562FD-E/SN</t>
  </si>
  <si>
    <t xml:space="preserve">SOIC-8 (1.27mm) vs SOIC-8 (1.27mm)</t>
  </si>
  <si>
    <t xml:space="preserve">MCP2562 requires an extra 5.0V supply rail. TCAN334GD operates natively from single 3.3V rail, supports 5 Mbps CAN-FD, and has &lt;1 µA shutdown for orbital eclipse.</t>
  </si>
  <si>
    <t xml:space="preserve">Ensure 120-ohm differential bus termination resistor on board if at bus end.</t>
  </si>
  <si>
    <t xml:space="preserve">CubeSat Magnetorquer Board — Bus Topology &amp; Power Domain Mapping</t>
  </si>
  <si>
    <t xml:space="preserve">Subsystem / Component</t>
  </si>
  <si>
    <t xml:space="preserve">Power Rail</t>
  </si>
  <si>
    <t xml:space="preserve">Voltage Level</t>
  </si>
  <si>
    <t xml:space="preserve">Communication Bus</t>
  </si>
  <si>
    <t xml:space="preserve">Controller Pin / Peripheral</t>
  </si>
  <si>
    <t xml:space="preserve">Fault Protection / FDIR Behavior</t>
  </si>
  <si>
    <t xml:space="preserve">Main Power Entry (LTC4368 #1)</t>
  </si>
  <si>
    <t xml:space="preserve">Raw EPS Bus</t>
  </si>
  <si>
    <t xml:space="preserve">3.3V to 8.4V</t>
  </si>
  <si>
    <t xml:space="preserve">Discrete Hardware</t>
  </si>
  <si>
    <t xml:space="preserve">GATE / FAULT pin</t>
  </si>
  <si>
    <t xml:space="preserve">Isolates entire board on short circuit or overvoltage surge</t>
  </si>
  <si>
    <t xml:space="preserve">H-Bridge Drive Entry (LTC4368 #2)</t>
  </si>
  <si>
    <t xml:space="preserve">Actuator Rail</t>
  </si>
  <si>
    <t xml:space="preserve">Independent GATE / SHDN</t>
  </si>
  <si>
    <t xml:space="preserve">Isolates coil drivers if an H-bridge FET fails shorted</t>
  </si>
  <si>
    <t xml:space="preserve">Voltage Monitor (INA226 #1)</t>
  </si>
  <si>
    <t xml:space="preserve">Logic 3.3V Rail</t>
  </si>
  <si>
    <t xml:space="preserve">3.3V (VCC), 0-36V (Vin)</t>
  </si>
  <si>
    <t xml:space="preserve">Primary I2C Bus</t>
  </si>
  <si>
    <t xml:space="preserve">MCU SERCOM I2C (Addr: 0x40)</t>
  </si>
  <si>
    <t xml:space="preserve">ALERT pin pulls low on bus undervoltage / battery sag</t>
  </si>
  <si>
    <t xml:space="preserve">Buck-Boost Converter (LTC3115-1)</t>
  </si>
  <si>
    <t xml:space="preserve">EPS Bus -&gt; Logic</t>
  </si>
  <si>
    <t xml:space="preserve">Input: 3.3V-8.4V -&gt; Out: 3.3V</t>
  </si>
  <si>
    <t xml:space="preserve">Power Good (PGOOD) -&gt; MCU Reset</t>
  </si>
  <si>
    <t xml:space="preserve">Holds MCU in reset until 3.3V logic rail stabilizes</t>
  </si>
  <si>
    <t xml:space="preserve">Microcontroller (ATSAME51J20A)</t>
  </si>
  <si>
    <t xml:space="preserve">Regulated 3.3V</t>
  </si>
  <si>
    <t xml:space="preserve">3.3V Core &amp; I/O</t>
  </si>
  <si>
    <t xml:space="preserve">Internal Bus Master</t>
  </si>
  <si>
    <t xml:space="preserve">Central Processor</t>
  </si>
  <si>
    <t xml:space="preserve">Hardware SRAM ECC auto-corrects radiation bit flips</t>
  </si>
  <si>
    <t xml:space="preserve">Watchdog Timer (MAX6373)</t>
  </si>
  <si>
    <t xml:space="preserve">3.3V</t>
  </si>
  <si>
    <t xml:space="preserve">Heartbeat Pulse</t>
  </si>
  <si>
    <t xml:space="preserve">MCU GPIO WDI -&gt; MCU RESET pin</t>
  </si>
  <si>
    <t xml:space="preserve">Asserts hard reset if MCU heartbeat stops for &gt;1.0s (54s boot grace)</t>
  </si>
  <si>
    <t xml:space="preserve">H-Bridges (2x DRV8833)</t>
  </si>
  <si>
    <t xml:space="preserve">3.3V to 8.4V (Vm), 3.3V Logic</t>
  </si>
  <si>
    <t xml:space="preserve">PWM &amp; Direction Pins</t>
  </si>
  <si>
    <t xml:space="preserve">MCU TCC0 / TCC1 Timers</t>
  </si>
  <si>
    <t xml:space="preserve">Hardware dead-time prevents shoot-through; nFAULT line alerts MCU</t>
  </si>
  <si>
    <t xml:space="preserve">Coil Current Monitors (3x INA226)</t>
  </si>
  <si>
    <t xml:space="preserve">3.3V (VCC), 0-11V (Vbus)</t>
  </si>
  <si>
    <t xml:space="preserve">MCU SERCOM I2C (Addrs: 0x41, 0x44, 0x45)</t>
  </si>
  <si>
    <t xml:space="preserve">Monitors current on X, Y, Z axes; triggers MCU interrupt on overcurrent</t>
  </si>
  <si>
    <t xml:space="preserve">I2C Multiplexer (TCA9546A)</t>
  </si>
  <si>
    <t xml:space="preserve">MCU SERCOM I2C (Addr: 0x70) + RESET GPIO</t>
  </si>
  <si>
    <t xml:space="preserve">Hardware RESET line un-hangs bus if external thermal sensor shorts</t>
  </si>
  <si>
    <t xml:space="preserve">Coil Temp Sensors (3x MCP9808)</t>
  </si>
  <si>
    <t xml:space="preserve">Muxed I2C Channels</t>
  </si>
  <si>
    <t xml:space="preserve">TCA9546A Ch 0, 1, 2 (Addrs: 0x18)</t>
  </si>
  <si>
    <t xml:space="preserve">Hardware ALERT pin connected to DRV8833 nSLEEP to auto-disable coil on overheat</t>
  </si>
  <si>
    <t xml:space="preserve">IMU (Murata SCC433T)</t>
  </si>
  <si>
    <t xml:space="preserve">SPI Bus</t>
  </si>
  <si>
    <t xml:space="preserve">MCU SERCOM SPI (Chip Select: CS_IMU)</t>
  </si>
  <si>
    <t xml:space="preserve">Internal self-diagnostics; high shock and vibration tolerance</t>
  </si>
  <si>
    <t xml:space="preserve">Dual Magnetometer (MLX90395)</t>
  </si>
  <si>
    <t xml:space="preserve">MCU SERCOM SPI (Chip Select: CS_MAG1, CS_MAG2)</t>
  </si>
  <si>
    <t xml:space="preserve">Dual isolated dies in 1 package; Die 1 is primary, Die 2 is backup</t>
  </si>
  <si>
    <t xml:space="preserve">CAN Transceiver (TCAN334GD)</t>
  </si>
  <si>
    <t xml:space="preserve">3.3V Single Rail</t>
  </si>
  <si>
    <t xml:space="preserve">CAN-FD Differential</t>
  </si>
  <si>
    <t xml:space="preserve">MCU CAN0 peripheral (TX/RX) + SHDN GPIO</t>
  </si>
  <si>
    <t xml:space="preserve">TXD Dominant Timeout prevents a hung MCU from locking the satellite bus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</si>
</sst>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1F497D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244061"/>
      </patternFill>
    </fill>
    <fill>
      <patternFill patternType="solid">
        <fgColor rgb="FFE2EFDA"/>
        <bgColor rgb="FFF2F5F8"/>
      </patternFill>
    </fill>
    <fill>
      <patternFill patternType="solid">
        <fgColor rgb="FFF2F5F8"/>
        <bgColor rgb="FFFFFFFF"/>
      </patternFill>
    </fill>
    <fill>
      <patternFill patternType="solid">
        <fgColor rgb="FFFFF2CC"/>
        <bgColor rgb="FFF2F5F8"/>
      </patternFill>
    </fill>
    <fill>
      <patternFill patternType="solid">
        <fgColor rgb="FF244061"/>
        <bgColor rgb="FF1F497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5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24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25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2" min="11" style="0" width="15"/>
    <col collapsed="false" customWidth="true" hidden="false" outlineLevel="0" max="13" min="13" style="0" width="20"/>
    <col collapsed="false" customWidth="true" hidden="false" outlineLevel="0" max="15" min="14" style="0" width="22"/>
    <col collapsed="false" customWidth="true" hidden="false" outlineLevel="0" max="16" min="16" style="0" width="42"/>
    <col collapsed="false" customWidth="true" hidden="false" outlineLevel="0" max="17" min="17" style="0" width="4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25.5" hidden="false" customHeight="true" outlineLevel="0" collapsed="false">
      <c r="A5" s="4" t="n">
        <v>1</v>
      </c>
      <c r="B5" s="5" t="s">
        <v>19</v>
      </c>
      <c r="C5" s="4" t="s">
        <v>20</v>
      </c>
      <c r="D5" s="5" t="s">
        <v>21</v>
      </c>
      <c r="E5" s="5" t="s">
        <v>22</v>
      </c>
      <c r="F5" s="5" t="s">
        <v>23</v>
      </c>
      <c r="G5" s="4" t="s">
        <v>24</v>
      </c>
      <c r="H5" s="4" t="s">
        <v>25</v>
      </c>
      <c r="I5" s="4" t="s">
        <v>26</v>
      </c>
      <c r="J5" s="4" t="n">
        <v>2</v>
      </c>
      <c r="K5" s="6" t="n">
        <v>7.4</v>
      </c>
      <c r="L5" s="7" t="n">
        <f aca="false">J5*K5</f>
        <v>14.8</v>
      </c>
      <c r="M5" s="4" t="s">
        <v>27</v>
      </c>
      <c r="N5" s="8" t="s">
        <v>28</v>
      </c>
      <c r="O5" s="8" t="s">
        <v>29</v>
      </c>
      <c r="P5" s="5" t="s">
        <v>30</v>
      </c>
      <c r="Q5" s="5" t="s">
        <v>31</v>
      </c>
    </row>
    <row r="6" customFormat="false" ht="25.5" hidden="false" customHeight="true" outlineLevel="0" collapsed="false">
      <c r="A6" s="9" t="n">
        <v>2</v>
      </c>
      <c r="B6" s="10" t="s">
        <v>32</v>
      </c>
      <c r="C6" s="9" t="s">
        <v>33</v>
      </c>
      <c r="D6" s="10" t="s">
        <v>34</v>
      </c>
      <c r="E6" s="10" t="s">
        <v>35</v>
      </c>
      <c r="F6" s="10" t="s">
        <v>36</v>
      </c>
      <c r="G6" s="9" t="s">
        <v>37</v>
      </c>
      <c r="H6" s="9" t="s">
        <v>25</v>
      </c>
      <c r="I6" s="9" t="s">
        <v>26</v>
      </c>
      <c r="J6" s="9" t="n">
        <v>1</v>
      </c>
      <c r="K6" s="11" t="n">
        <v>3.19</v>
      </c>
      <c r="L6" s="12" t="n">
        <f aca="false">J6*K6</f>
        <v>3.19</v>
      </c>
      <c r="M6" s="8" t="s">
        <v>38</v>
      </c>
      <c r="N6" s="8" t="s">
        <v>39</v>
      </c>
      <c r="O6" s="8" t="s">
        <v>40</v>
      </c>
      <c r="P6" s="10" t="s">
        <v>41</v>
      </c>
      <c r="Q6" s="10" t="s">
        <v>42</v>
      </c>
    </row>
    <row r="7" customFormat="false" ht="25.5" hidden="false" customHeight="true" outlineLevel="0" collapsed="false">
      <c r="A7" s="4" t="n">
        <v>3</v>
      </c>
      <c r="B7" s="10" t="s">
        <v>43</v>
      </c>
      <c r="C7" s="9" t="s">
        <v>44</v>
      </c>
      <c r="D7" s="10" t="s">
        <v>45</v>
      </c>
      <c r="E7" s="10" t="s">
        <v>46</v>
      </c>
      <c r="F7" s="10" t="s">
        <v>47</v>
      </c>
      <c r="G7" s="9" t="s">
        <v>48</v>
      </c>
      <c r="H7" s="9" t="s">
        <v>49</v>
      </c>
      <c r="I7" s="9" t="s">
        <v>26</v>
      </c>
      <c r="J7" s="9" t="n">
        <v>1</v>
      </c>
      <c r="K7" s="11" t="n">
        <v>1.2</v>
      </c>
      <c r="L7" s="12" t="n">
        <f aca="false">J7*K7</f>
        <v>1.2</v>
      </c>
      <c r="M7" s="8" t="s">
        <v>50</v>
      </c>
      <c r="N7" s="8" t="s">
        <v>51</v>
      </c>
      <c r="O7" s="8" t="s">
        <v>40</v>
      </c>
      <c r="P7" s="10" t="s">
        <v>52</v>
      </c>
      <c r="Q7" s="10" t="s">
        <v>53</v>
      </c>
    </row>
    <row r="8" customFormat="false" ht="25.5" hidden="false" customHeight="true" outlineLevel="0" collapsed="false">
      <c r="A8" s="9" t="n">
        <v>4</v>
      </c>
      <c r="B8" s="5" t="s">
        <v>54</v>
      </c>
      <c r="C8" s="4" t="s">
        <v>55</v>
      </c>
      <c r="D8" s="5" t="s">
        <v>56</v>
      </c>
      <c r="E8" s="5" t="s">
        <v>57</v>
      </c>
      <c r="F8" s="5" t="s">
        <v>58</v>
      </c>
      <c r="G8" s="4" t="s">
        <v>59</v>
      </c>
      <c r="H8" s="4" t="s">
        <v>25</v>
      </c>
      <c r="I8" s="4" t="s">
        <v>26</v>
      </c>
      <c r="J8" s="4" t="n">
        <v>1</v>
      </c>
      <c r="K8" s="6" t="n">
        <v>7.84</v>
      </c>
      <c r="L8" s="7" t="n">
        <f aca="false">J8*K8</f>
        <v>7.84</v>
      </c>
      <c r="M8" s="8" t="s">
        <v>60</v>
      </c>
      <c r="N8" s="8" t="s">
        <v>61</v>
      </c>
      <c r="O8" s="8" t="s">
        <v>62</v>
      </c>
      <c r="P8" s="5" t="s">
        <v>63</v>
      </c>
      <c r="Q8" s="5" t="s">
        <v>64</v>
      </c>
    </row>
    <row r="9" customFormat="false" ht="25.5" hidden="false" customHeight="true" outlineLevel="0" collapsed="false">
      <c r="A9" s="4" t="n">
        <v>5</v>
      </c>
      <c r="B9" s="10" t="s">
        <v>65</v>
      </c>
      <c r="C9" s="9" t="s">
        <v>66</v>
      </c>
      <c r="D9" s="10" t="s">
        <v>67</v>
      </c>
      <c r="E9" s="10" t="s">
        <v>68</v>
      </c>
      <c r="F9" s="10" t="s">
        <v>69</v>
      </c>
      <c r="G9" s="9" t="s">
        <v>70</v>
      </c>
      <c r="H9" s="9" t="s">
        <v>71</v>
      </c>
      <c r="I9" s="9" t="s">
        <v>26</v>
      </c>
      <c r="J9" s="9" t="n">
        <v>1</v>
      </c>
      <c r="K9" s="11" t="n">
        <v>6.39</v>
      </c>
      <c r="L9" s="12" t="n">
        <f aca="false">J9*K9</f>
        <v>6.39</v>
      </c>
      <c r="M9" s="8" t="s">
        <v>72</v>
      </c>
      <c r="N9" s="8" t="s">
        <v>73</v>
      </c>
      <c r="O9" s="8" t="s">
        <v>40</v>
      </c>
      <c r="P9" s="10" t="s">
        <v>74</v>
      </c>
      <c r="Q9" s="10" t="s">
        <v>75</v>
      </c>
    </row>
    <row r="10" customFormat="false" ht="25.5" hidden="false" customHeight="true" outlineLevel="0" collapsed="false">
      <c r="A10" s="9" t="n">
        <v>6</v>
      </c>
      <c r="B10" s="5" t="s">
        <v>76</v>
      </c>
      <c r="C10" s="4" t="s">
        <v>77</v>
      </c>
      <c r="D10" s="5" t="s">
        <v>78</v>
      </c>
      <c r="E10" s="5" t="s">
        <v>79</v>
      </c>
      <c r="F10" s="5" t="s">
        <v>36</v>
      </c>
      <c r="G10" s="4" t="s">
        <v>80</v>
      </c>
      <c r="H10" s="4" t="s">
        <v>71</v>
      </c>
      <c r="I10" s="4" t="s">
        <v>26</v>
      </c>
      <c r="J10" s="4" t="n">
        <v>2</v>
      </c>
      <c r="K10" s="6" t="n">
        <v>3.02</v>
      </c>
      <c r="L10" s="7" t="n">
        <f aca="false">J10*K10</f>
        <v>6.04</v>
      </c>
      <c r="M10" s="8" t="s">
        <v>81</v>
      </c>
      <c r="N10" s="8" t="s">
        <v>82</v>
      </c>
      <c r="O10" s="8" t="s">
        <v>62</v>
      </c>
      <c r="P10" s="5" t="s">
        <v>83</v>
      </c>
      <c r="Q10" s="5" t="s">
        <v>84</v>
      </c>
    </row>
    <row r="11" customFormat="false" ht="25.5" hidden="false" customHeight="true" outlineLevel="0" collapsed="false">
      <c r="A11" s="4" t="n">
        <v>7</v>
      </c>
      <c r="B11" s="10" t="s">
        <v>85</v>
      </c>
      <c r="C11" s="9" t="s">
        <v>86</v>
      </c>
      <c r="D11" s="10" t="s">
        <v>87</v>
      </c>
      <c r="E11" s="10" t="s">
        <v>35</v>
      </c>
      <c r="F11" s="10" t="s">
        <v>36</v>
      </c>
      <c r="G11" s="9" t="s">
        <v>37</v>
      </c>
      <c r="H11" s="9" t="s">
        <v>25</v>
      </c>
      <c r="I11" s="9" t="s">
        <v>26</v>
      </c>
      <c r="J11" s="9" t="n">
        <v>3</v>
      </c>
      <c r="K11" s="11" t="n">
        <v>3.19</v>
      </c>
      <c r="L11" s="12" t="n">
        <f aca="false">J11*K11</f>
        <v>9.57</v>
      </c>
      <c r="M11" s="8" t="s">
        <v>38</v>
      </c>
      <c r="N11" s="8" t="s">
        <v>39</v>
      </c>
      <c r="O11" s="8" t="s">
        <v>40</v>
      </c>
      <c r="P11" s="10" t="s">
        <v>41</v>
      </c>
      <c r="Q11" s="10" t="s">
        <v>88</v>
      </c>
    </row>
    <row r="12" customFormat="false" ht="25.5" hidden="false" customHeight="true" outlineLevel="0" collapsed="false">
      <c r="A12" s="9" t="n">
        <v>8</v>
      </c>
      <c r="B12" s="5" t="s">
        <v>89</v>
      </c>
      <c r="C12" s="4" t="s">
        <v>90</v>
      </c>
      <c r="D12" s="5" t="s">
        <v>91</v>
      </c>
      <c r="E12" s="5" t="s">
        <v>92</v>
      </c>
      <c r="F12" s="5" t="s">
        <v>36</v>
      </c>
      <c r="G12" s="4" t="s">
        <v>93</v>
      </c>
      <c r="H12" s="4" t="s">
        <v>71</v>
      </c>
      <c r="I12" s="4" t="s">
        <v>26</v>
      </c>
      <c r="J12" s="4" t="n">
        <v>1</v>
      </c>
      <c r="K12" s="6" t="n">
        <v>1.33</v>
      </c>
      <c r="L12" s="7" t="n">
        <f aca="false">J12*K12</f>
        <v>1.33</v>
      </c>
      <c r="M12" s="8" t="s">
        <v>94</v>
      </c>
      <c r="N12" s="8" t="s">
        <v>95</v>
      </c>
      <c r="O12" s="8" t="s">
        <v>29</v>
      </c>
      <c r="P12" s="5" t="s">
        <v>96</v>
      </c>
      <c r="Q12" s="5" t="s">
        <v>97</v>
      </c>
    </row>
    <row r="13" customFormat="false" ht="25.5" hidden="false" customHeight="true" outlineLevel="0" collapsed="false">
      <c r="A13" s="4" t="n">
        <v>9</v>
      </c>
      <c r="B13" s="10" t="s">
        <v>98</v>
      </c>
      <c r="C13" s="9" t="s">
        <v>99</v>
      </c>
      <c r="D13" s="10" t="s">
        <v>100</v>
      </c>
      <c r="E13" s="10" t="s">
        <v>101</v>
      </c>
      <c r="F13" s="10" t="s">
        <v>102</v>
      </c>
      <c r="G13" s="9" t="s">
        <v>103</v>
      </c>
      <c r="H13" s="9" t="s">
        <v>104</v>
      </c>
      <c r="I13" s="9" t="s">
        <v>26</v>
      </c>
      <c r="J13" s="9" t="n">
        <v>1</v>
      </c>
      <c r="K13" s="11" t="n">
        <v>37.4</v>
      </c>
      <c r="L13" s="12" t="n">
        <f aca="false">J13*K13</f>
        <v>37.4</v>
      </c>
      <c r="M13" s="8" t="s">
        <v>105</v>
      </c>
      <c r="N13" s="8" t="s">
        <v>106</v>
      </c>
      <c r="O13" s="13" t="s">
        <v>107</v>
      </c>
      <c r="P13" s="10" t="s">
        <v>108</v>
      </c>
      <c r="Q13" s="10" t="s">
        <v>109</v>
      </c>
    </row>
    <row r="14" customFormat="false" ht="25.5" hidden="false" customHeight="true" outlineLevel="0" collapsed="false">
      <c r="A14" s="9" t="n">
        <v>10</v>
      </c>
      <c r="B14" s="5" t="s">
        <v>110</v>
      </c>
      <c r="C14" s="4" t="s">
        <v>111</v>
      </c>
      <c r="D14" s="5" t="s">
        <v>112</v>
      </c>
      <c r="E14" s="5" t="s">
        <v>113</v>
      </c>
      <c r="F14" s="5" t="s">
        <v>114</v>
      </c>
      <c r="G14" s="4" t="s">
        <v>115</v>
      </c>
      <c r="H14" s="4" t="s">
        <v>71</v>
      </c>
      <c r="I14" s="4" t="s">
        <v>26</v>
      </c>
      <c r="J14" s="4" t="n">
        <v>1</v>
      </c>
      <c r="K14" s="6" t="n">
        <v>3.52</v>
      </c>
      <c r="L14" s="7" t="n">
        <f aca="false">J14*K14</f>
        <v>3.52</v>
      </c>
      <c r="M14" s="8" t="s">
        <v>116</v>
      </c>
      <c r="N14" s="8" t="s">
        <v>117</v>
      </c>
      <c r="O14" s="8" t="s">
        <v>62</v>
      </c>
      <c r="P14" s="5" t="s">
        <v>118</v>
      </c>
      <c r="Q14" s="5" t="s">
        <v>119</v>
      </c>
    </row>
    <row r="15" customFormat="false" ht="25.5" hidden="false" customHeight="true" outlineLevel="0" collapsed="false">
      <c r="A15" s="4" t="n">
        <v>11</v>
      </c>
      <c r="B15" s="10" t="s">
        <v>120</v>
      </c>
      <c r="C15" s="9" t="s">
        <v>121</v>
      </c>
      <c r="D15" s="10" t="s">
        <v>122</v>
      </c>
      <c r="E15" s="10" t="s">
        <v>123</v>
      </c>
      <c r="F15" s="10" t="s">
        <v>58</v>
      </c>
      <c r="G15" s="9" t="s">
        <v>124</v>
      </c>
      <c r="H15" s="9" t="s">
        <v>71</v>
      </c>
      <c r="I15" s="9" t="s">
        <v>26</v>
      </c>
      <c r="J15" s="9" t="n">
        <v>3</v>
      </c>
      <c r="K15" s="11" t="n">
        <v>1.4</v>
      </c>
      <c r="L15" s="12" t="n">
        <f aca="false">J15*K15</f>
        <v>4.2</v>
      </c>
      <c r="M15" s="8" t="s">
        <v>125</v>
      </c>
      <c r="N15" s="8" t="s">
        <v>126</v>
      </c>
      <c r="O15" s="8" t="s">
        <v>40</v>
      </c>
      <c r="P15" s="10" t="s">
        <v>127</v>
      </c>
      <c r="Q15" s="10" t="s">
        <v>128</v>
      </c>
    </row>
    <row r="16" customFormat="false" ht="25.5" hidden="false" customHeight="true" outlineLevel="0" collapsed="false">
      <c r="A16" s="9" t="n">
        <v>12</v>
      </c>
      <c r="B16" s="5" t="s">
        <v>129</v>
      </c>
      <c r="C16" s="4" t="s">
        <v>130</v>
      </c>
      <c r="D16" s="5" t="s">
        <v>131</v>
      </c>
      <c r="E16" s="5" t="s">
        <v>132</v>
      </c>
      <c r="F16" s="5" t="s">
        <v>36</v>
      </c>
      <c r="G16" s="4" t="s">
        <v>133</v>
      </c>
      <c r="H16" s="4" t="s">
        <v>104</v>
      </c>
      <c r="I16" s="4" t="s">
        <v>26</v>
      </c>
      <c r="J16" s="4" t="n">
        <v>1</v>
      </c>
      <c r="K16" s="6" t="n">
        <v>3.17</v>
      </c>
      <c r="L16" s="7" t="n">
        <f aca="false">J16*K16</f>
        <v>3.17</v>
      </c>
      <c r="M16" s="8" t="s">
        <v>134</v>
      </c>
      <c r="N16" s="8" t="s">
        <v>135</v>
      </c>
      <c r="O16" s="8" t="s">
        <v>40</v>
      </c>
      <c r="P16" s="5" t="s">
        <v>136</v>
      </c>
      <c r="Q16" s="5" t="s">
        <v>137</v>
      </c>
    </row>
    <row r="17" customFormat="false" ht="25.5" hidden="false" customHeight="true" outlineLevel="0" collapsed="false">
      <c r="A17" s="14" t="s">
        <v>138</v>
      </c>
      <c r="B17" s="14"/>
      <c r="C17" s="14"/>
      <c r="D17" s="14"/>
      <c r="E17" s="14"/>
      <c r="F17" s="14"/>
      <c r="G17" s="14"/>
      <c r="H17" s="14"/>
      <c r="I17" s="14"/>
      <c r="J17" s="15" t="n">
        <f aca="false">SUM(J5:J16)</f>
        <v>18</v>
      </c>
      <c r="K17" s="16"/>
      <c r="L17" s="17" t="n">
        <f aca="false">SUM(L5:L16)</f>
        <v>98.65</v>
      </c>
      <c r="M17" s="16"/>
      <c r="N17" s="16"/>
      <c r="O17" s="16"/>
      <c r="P17" s="16"/>
      <c r="Q17" s="16"/>
    </row>
    <row r="19" customFormat="false" ht="14.25" hidden="false" customHeight="false" outlineLevel="0" collapsed="false">
      <c r="A19" s="18" t="s">
        <v>139</v>
      </c>
    </row>
    <row r="20" customFormat="false" ht="14.25" hidden="false" customHeight="false" outlineLevel="0" collapsed="false">
      <c r="A20" s="19" t="s">
        <v>140</v>
      </c>
    </row>
    <row r="21" customFormat="false" ht="14.25" hidden="false" customHeight="false" outlineLevel="0" collapsed="false">
      <c r="A21" s="19" t="s">
        <v>141</v>
      </c>
    </row>
    <row r="22" customFormat="false" ht="14.25" hidden="false" customHeight="false" outlineLevel="0" collapsed="false">
      <c r="A22" s="19" t="s">
        <v>142</v>
      </c>
    </row>
    <row r="23" customFormat="false" ht="14.25" hidden="false" customHeight="false" outlineLevel="0" collapsed="false">
      <c r="A23" s="19" t="s">
        <v>143</v>
      </c>
    </row>
    <row r="24" customFormat="false" ht="14.25" hidden="false" customHeight="false" outlineLevel="0" collapsed="false">
      <c r="A24" s="19" t="s">
        <v>144</v>
      </c>
    </row>
    <row r="25" customFormat="false" ht="14.25" hidden="false" customHeight="false" outlineLevel="0" collapsed="false">
      <c r="A25" s="19" t="s">
        <v>145</v>
      </c>
    </row>
    <row r="1048576" customFormat="false" ht="12.8" hidden="false" customHeight="false" outlineLevel="0" collapsed="false"/>
  </sheetData>
  <mergeCells count="3">
    <mergeCell ref="A1:Q1"/>
    <mergeCell ref="A2:Q2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4"/>
    <col collapsed="false" customWidth="true" hidden="false" outlineLevel="0" max="5" min="5" style="0" width="28"/>
    <col collapsed="false" customWidth="true" hidden="false" outlineLevel="0" max="6" min="6" style="0" width="48"/>
    <col collapsed="false" customWidth="true" hidden="false" outlineLevel="0" max="7" min="7" style="0" width="35"/>
  </cols>
  <sheetData>
    <row r="1" customFormat="false" ht="19.7" hidden="false" customHeight="false" outlineLevel="0" collapsed="false">
      <c r="A1" s="1" t="s">
        <v>146</v>
      </c>
      <c r="B1" s="1"/>
      <c r="C1" s="1"/>
      <c r="D1" s="1"/>
      <c r="E1" s="1"/>
      <c r="F1" s="1"/>
      <c r="G1" s="1"/>
    </row>
    <row r="3" customFormat="false" ht="25.5" hidden="false" customHeight="true" outlineLevel="0" collapsed="false">
      <c r="A3" s="20" t="s">
        <v>3</v>
      </c>
      <c r="B3" s="20" t="s">
        <v>147</v>
      </c>
      <c r="C3" s="20" t="s">
        <v>148</v>
      </c>
      <c r="D3" s="20" t="s">
        <v>149</v>
      </c>
      <c r="E3" s="20" t="s">
        <v>150</v>
      </c>
      <c r="F3" s="20" t="s">
        <v>151</v>
      </c>
      <c r="G3" s="20" t="s">
        <v>152</v>
      </c>
    </row>
    <row r="4" customFormat="false" ht="36" hidden="false" customHeight="true" outlineLevel="0" collapsed="false">
      <c r="A4" s="10" t="s">
        <v>153</v>
      </c>
      <c r="B4" s="9" t="s">
        <v>22</v>
      </c>
      <c r="C4" s="9" t="s">
        <v>154</v>
      </c>
      <c r="D4" s="21" t="s">
        <v>22</v>
      </c>
      <c r="E4" s="9" t="s">
        <v>155</v>
      </c>
      <c r="F4" s="10" t="s">
        <v>156</v>
      </c>
      <c r="G4" s="10" t="s">
        <v>157</v>
      </c>
    </row>
    <row r="5" customFormat="false" ht="36" hidden="false" customHeight="true" outlineLevel="0" collapsed="false">
      <c r="A5" s="5" t="s">
        <v>158</v>
      </c>
      <c r="B5" s="4" t="s">
        <v>35</v>
      </c>
      <c r="C5" s="4" t="s">
        <v>159</v>
      </c>
      <c r="D5" s="21" t="s">
        <v>35</v>
      </c>
      <c r="E5" s="4" t="s">
        <v>160</v>
      </c>
      <c r="F5" s="5" t="s">
        <v>161</v>
      </c>
      <c r="G5" s="5" t="s">
        <v>162</v>
      </c>
    </row>
    <row r="6" customFormat="false" ht="36" hidden="false" customHeight="true" outlineLevel="0" collapsed="false">
      <c r="A6" s="10" t="s">
        <v>163</v>
      </c>
      <c r="B6" s="9" t="s">
        <v>164</v>
      </c>
      <c r="C6" s="9" t="s">
        <v>165</v>
      </c>
      <c r="D6" s="21" t="s">
        <v>164</v>
      </c>
      <c r="E6" s="9" t="s">
        <v>166</v>
      </c>
      <c r="F6" s="10" t="s">
        <v>167</v>
      </c>
      <c r="G6" s="10" t="s">
        <v>168</v>
      </c>
    </row>
    <row r="7" customFormat="false" ht="36" hidden="false" customHeight="true" outlineLevel="0" collapsed="false">
      <c r="A7" s="5" t="s">
        <v>54</v>
      </c>
      <c r="B7" s="4" t="s">
        <v>57</v>
      </c>
      <c r="C7" s="4" t="s">
        <v>169</v>
      </c>
      <c r="D7" s="21" t="s">
        <v>57</v>
      </c>
      <c r="E7" s="4" t="s">
        <v>170</v>
      </c>
      <c r="F7" s="5" t="s">
        <v>171</v>
      </c>
      <c r="G7" s="5" t="s">
        <v>172</v>
      </c>
    </row>
    <row r="8" customFormat="false" ht="36" hidden="false" customHeight="true" outlineLevel="0" collapsed="false">
      <c r="A8" s="10" t="s">
        <v>65</v>
      </c>
      <c r="B8" s="9" t="s">
        <v>68</v>
      </c>
      <c r="C8" s="9" t="s">
        <v>173</v>
      </c>
      <c r="D8" s="21" t="s">
        <v>68</v>
      </c>
      <c r="E8" s="9" t="s">
        <v>174</v>
      </c>
      <c r="F8" s="10" t="s">
        <v>175</v>
      </c>
      <c r="G8" s="10" t="s">
        <v>176</v>
      </c>
    </row>
    <row r="9" customFormat="false" ht="36" hidden="false" customHeight="true" outlineLevel="0" collapsed="false">
      <c r="A9" s="5" t="s">
        <v>85</v>
      </c>
      <c r="B9" s="4" t="s">
        <v>177</v>
      </c>
      <c r="C9" s="4" t="s">
        <v>178</v>
      </c>
      <c r="D9" s="21" t="s">
        <v>35</v>
      </c>
      <c r="E9" s="4" t="s">
        <v>179</v>
      </c>
      <c r="F9" s="5" t="s">
        <v>180</v>
      </c>
      <c r="G9" s="5" t="s">
        <v>181</v>
      </c>
    </row>
    <row r="10" customFormat="false" ht="36" hidden="false" customHeight="true" outlineLevel="0" collapsed="false">
      <c r="A10" s="10" t="s">
        <v>182</v>
      </c>
      <c r="B10" s="9" t="s">
        <v>123</v>
      </c>
      <c r="C10" s="9" t="s">
        <v>183</v>
      </c>
      <c r="D10" s="21" t="s">
        <v>123</v>
      </c>
      <c r="E10" s="9" t="s">
        <v>184</v>
      </c>
      <c r="F10" s="10" t="s">
        <v>185</v>
      </c>
      <c r="G10" s="10" t="s">
        <v>186</v>
      </c>
    </row>
    <row r="11" customFormat="false" ht="36" hidden="false" customHeight="true" outlineLevel="0" collapsed="false">
      <c r="A11" s="5" t="s">
        <v>129</v>
      </c>
      <c r="B11" s="4" t="s">
        <v>132</v>
      </c>
      <c r="C11" s="4" t="s">
        <v>187</v>
      </c>
      <c r="D11" s="21" t="s">
        <v>132</v>
      </c>
      <c r="E11" s="4" t="s">
        <v>188</v>
      </c>
      <c r="F11" s="5" t="s">
        <v>189</v>
      </c>
      <c r="G11" s="5" t="s">
        <v>190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45"/>
  </cols>
  <sheetData>
    <row r="1" customFormat="false" ht="19.7" hidden="false" customHeight="false" outlineLevel="0" collapsed="false">
      <c r="A1" s="1" t="s">
        <v>191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3" t="s">
        <v>192</v>
      </c>
      <c r="B3" s="3" t="s">
        <v>193</v>
      </c>
      <c r="C3" s="3" t="s">
        <v>194</v>
      </c>
      <c r="D3" s="3" t="s">
        <v>195</v>
      </c>
      <c r="E3" s="3" t="s">
        <v>196</v>
      </c>
      <c r="F3" s="3" t="s">
        <v>197</v>
      </c>
    </row>
    <row r="4" customFormat="false" ht="24" hidden="false" customHeight="true" outlineLevel="0" collapsed="false">
      <c r="A4" s="10" t="s">
        <v>198</v>
      </c>
      <c r="B4" s="9" t="s">
        <v>199</v>
      </c>
      <c r="C4" s="9" t="s">
        <v>200</v>
      </c>
      <c r="D4" s="9" t="s">
        <v>201</v>
      </c>
      <c r="E4" s="10" t="s">
        <v>202</v>
      </c>
      <c r="F4" s="10" t="s">
        <v>203</v>
      </c>
    </row>
    <row r="5" customFormat="false" ht="24" hidden="false" customHeight="true" outlineLevel="0" collapsed="false">
      <c r="A5" s="5" t="s">
        <v>204</v>
      </c>
      <c r="B5" s="4" t="s">
        <v>205</v>
      </c>
      <c r="C5" s="4" t="s">
        <v>200</v>
      </c>
      <c r="D5" s="4" t="s">
        <v>201</v>
      </c>
      <c r="E5" s="5" t="s">
        <v>206</v>
      </c>
      <c r="F5" s="5" t="s">
        <v>207</v>
      </c>
    </row>
    <row r="6" customFormat="false" ht="24" hidden="false" customHeight="true" outlineLevel="0" collapsed="false">
      <c r="A6" s="10" t="s">
        <v>208</v>
      </c>
      <c r="B6" s="9" t="s">
        <v>209</v>
      </c>
      <c r="C6" s="9" t="s">
        <v>210</v>
      </c>
      <c r="D6" s="9" t="s">
        <v>211</v>
      </c>
      <c r="E6" s="10" t="s">
        <v>212</v>
      </c>
      <c r="F6" s="10" t="s">
        <v>213</v>
      </c>
    </row>
    <row r="7" customFormat="false" ht="24" hidden="false" customHeight="true" outlineLevel="0" collapsed="false">
      <c r="A7" s="5" t="s">
        <v>214</v>
      </c>
      <c r="B7" s="4" t="s">
        <v>215</v>
      </c>
      <c r="C7" s="4" t="s">
        <v>216</v>
      </c>
      <c r="D7" s="4" t="s">
        <v>201</v>
      </c>
      <c r="E7" s="5" t="s">
        <v>217</v>
      </c>
      <c r="F7" s="5" t="s">
        <v>218</v>
      </c>
    </row>
    <row r="8" customFormat="false" ht="24" hidden="false" customHeight="true" outlineLevel="0" collapsed="false">
      <c r="A8" s="10" t="s">
        <v>219</v>
      </c>
      <c r="B8" s="9" t="s">
        <v>220</v>
      </c>
      <c r="C8" s="9" t="s">
        <v>221</v>
      </c>
      <c r="D8" s="9" t="s">
        <v>222</v>
      </c>
      <c r="E8" s="10" t="s">
        <v>223</v>
      </c>
      <c r="F8" s="10" t="s">
        <v>224</v>
      </c>
    </row>
    <row r="9" customFormat="false" ht="24" hidden="false" customHeight="true" outlineLevel="0" collapsed="false">
      <c r="A9" s="5" t="s">
        <v>225</v>
      </c>
      <c r="B9" s="4" t="s">
        <v>220</v>
      </c>
      <c r="C9" s="4" t="s">
        <v>226</v>
      </c>
      <c r="D9" s="4" t="s">
        <v>227</v>
      </c>
      <c r="E9" s="5" t="s">
        <v>228</v>
      </c>
      <c r="F9" s="5" t="s">
        <v>229</v>
      </c>
    </row>
    <row r="10" customFormat="false" ht="24" hidden="false" customHeight="true" outlineLevel="0" collapsed="false">
      <c r="A10" s="10" t="s">
        <v>230</v>
      </c>
      <c r="B10" s="9" t="s">
        <v>205</v>
      </c>
      <c r="C10" s="9" t="s">
        <v>231</v>
      </c>
      <c r="D10" s="9" t="s">
        <v>232</v>
      </c>
      <c r="E10" s="10" t="s">
        <v>233</v>
      </c>
      <c r="F10" s="10" t="s">
        <v>234</v>
      </c>
    </row>
    <row r="11" customFormat="false" ht="24" hidden="false" customHeight="true" outlineLevel="0" collapsed="false">
      <c r="A11" s="5" t="s">
        <v>235</v>
      </c>
      <c r="B11" s="4" t="s">
        <v>220</v>
      </c>
      <c r="C11" s="4" t="s">
        <v>236</v>
      </c>
      <c r="D11" s="4" t="s">
        <v>211</v>
      </c>
      <c r="E11" s="5" t="s">
        <v>237</v>
      </c>
      <c r="F11" s="5" t="s">
        <v>238</v>
      </c>
    </row>
    <row r="12" customFormat="false" ht="24" hidden="false" customHeight="true" outlineLevel="0" collapsed="false">
      <c r="A12" s="10" t="s">
        <v>239</v>
      </c>
      <c r="B12" s="9" t="s">
        <v>220</v>
      </c>
      <c r="C12" s="9" t="s">
        <v>226</v>
      </c>
      <c r="D12" s="9" t="s">
        <v>211</v>
      </c>
      <c r="E12" s="10" t="s">
        <v>240</v>
      </c>
      <c r="F12" s="10" t="s">
        <v>241</v>
      </c>
    </row>
    <row r="13" customFormat="false" ht="24" hidden="false" customHeight="true" outlineLevel="0" collapsed="false">
      <c r="A13" s="5" t="s">
        <v>242</v>
      </c>
      <c r="B13" s="4" t="s">
        <v>220</v>
      </c>
      <c r="C13" s="4" t="s">
        <v>226</v>
      </c>
      <c r="D13" s="4" t="s">
        <v>243</v>
      </c>
      <c r="E13" s="5" t="s">
        <v>244</v>
      </c>
      <c r="F13" s="5" t="s">
        <v>245</v>
      </c>
    </row>
    <row r="14" customFormat="false" ht="24" hidden="false" customHeight="true" outlineLevel="0" collapsed="false">
      <c r="A14" s="10" t="s">
        <v>246</v>
      </c>
      <c r="B14" s="9" t="s">
        <v>220</v>
      </c>
      <c r="C14" s="9" t="s">
        <v>226</v>
      </c>
      <c r="D14" s="9" t="s">
        <v>247</v>
      </c>
      <c r="E14" s="10" t="s">
        <v>248</v>
      </c>
      <c r="F14" s="10" t="s">
        <v>249</v>
      </c>
    </row>
    <row r="15" customFormat="false" ht="24" hidden="false" customHeight="true" outlineLevel="0" collapsed="false">
      <c r="A15" s="5" t="s">
        <v>250</v>
      </c>
      <c r="B15" s="4" t="s">
        <v>220</v>
      </c>
      <c r="C15" s="4" t="s">
        <v>226</v>
      </c>
      <c r="D15" s="4" t="s">
        <v>247</v>
      </c>
      <c r="E15" s="5" t="s">
        <v>251</v>
      </c>
      <c r="F15" s="5" t="s">
        <v>252</v>
      </c>
    </row>
    <row r="16" customFormat="false" ht="24" hidden="false" customHeight="true" outlineLevel="0" collapsed="false">
      <c r="A16" s="10" t="s">
        <v>253</v>
      </c>
      <c r="B16" s="9" t="s">
        <v>220</v>
      </c>
      <c r="C16" s="9" t="s">
        <v>254</v>
      </c>
      <c r="D16" s="9" t="s">
        <v>255</v>
      </c>
      <c r="E16" s="10" t="s">
        <v>256</v>
      </c>
      <c r="F16" s="10" t="s">
        <v>257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2026-10-11T18:00:00Z</dcterms:created>
  <dc:creator>openpyxl</dc:creator>
  <dc:description/>
  <dc:language>en-CA</dc:language>
  <cp:lastModifiedBy/>
  <dcterms:modified xsi:type="dcterms:W3CDTF">2026-10-24T19:09:32Z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